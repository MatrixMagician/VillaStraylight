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credit_gbp</t>
        </is>
      </c>
    </row>
    <row r="2">
      <c r="A2" t="inlineStr">
        <is>
          <t>2026-04-20</t>
        </is>
      </c>
      <c r="B2" t="inlineStr">
        <is>
          <t>TESSIER ASHPOOL LTD INV1041</t>
        </is>
      </c>
      <c r="C2" t="inlineStr">
        <is>
          <t>1200.00</t>
        </is>
      </c>
    </row>
    <row r="3">
      <c r="A3" t="inlineStr">
        <is>
          <t>2026-05-02</t>
        </is>
      </c>
      <c r="B3" t="inlineStr">
        <is>
          <t>SENSE NET PAYMENT</t>
        </is>
      </c>
      <c r="C3" t="inlineStr">
        <is>
          <t>860.50</t>
        </is>
      </c>
    </row>
    <row r="4">
      <c r="A4" t="inlineStr">
        <is>
          <t>2026-05-30</t>
        </is>
      </c>
      <c r="B4" t="inlineStr">
        <is>
          <t>ONO SENDAI 1043</t>
        </is>
      </c>
      <c r="C4" t="inlineStr">
        <is>
          <t>2400.00</t>
        </is>
      </c>
    </row>
    <row r="5">
      <c r="A5" t="inlineStr">
        <is>
          <t>2026-06-15</t>
        </is>
      </c>
      <c r="B5" t="inlineStr">
        <is>
          <t>TESSIER ASHPOOL LTD INV1044</t>
        </is>
      </c>
      <c r="C5" t="inlineStr">
        <is>
          <t>1200.00</t>
        </is>
      </c>
    </row>
    <row r="6">
      <c r="A6" t="inlineStr">
        <is>
          <t>2026-06-16</t>
        </is>
      </c>
      <c r="B6" t="inlineStr">
        <is>
          <t>MAAS BIOLABS</t>
        </is>
      </c>
      <c r="C6" t="inlineStr">
        <is>
          <t>3100.75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client</t>
        </is>
      </c>
      <c r="C1" t="inlineStr">
        <is>
          <t>date</t>
        </is>
      </c>
      <c r="D1" t="inlineStr">
        <is>
          <t>amount_gbp</t>
        </is>
      </c>
      <c r="E1" t="inlineStr">
        <is>
          <t>paid_gbp</t>
        </is>
      </c>
      <c r="F1" t="inlineStr">
        <is>
          <t>outstanding_gbp</t>
        </is>
      </c>
      <c r="G1" t="inlineStr">
        <is>
          <t>status</t>
        </is>
      </c>
    </row>
    <row r="2">
      <c r="A2" t="inlineStr">
        <is>
          <t>INV-1041</t>
        </is>
      </c>
      <c r="B2" t="inlineStr">
        <is>
          <t>Tessier-Ashpool</t>
        </is>
      </c>
      <c r="C2" t="inlineStr">
        <is>
          <t>2026-04-03</t>
        </is>
      </c>
      <c r="D2" t="n">
        <v>1200</v>
      </c>
      <c r="E2">
        <f>SUMIF(Bank!B:B,"*"&amp;A2,Bank!C:C)</f>
        <v/>
      </c>
      <c r="F2">
        <f>D2-E2</f>
        <v/>
      </c>
      <c r="G2" t="inlineStr">
        <is>
          <t>sent</t>
        </is>
      </c>
    </row>
    <row r="3">
      <c r="A3" t="inlineStr">
        <is>
          <t>INV-1042</t>
        </is>
      </c>
      <c r="B3" t="inlineStr">
        <is>
          <t>Sense/Net</t>
        </is>
      </c>
      <c r="C3" t="inlineStr">
        <is>
          <t>2026-04-11</t>
        </is>
      </c>
      <c r="D3" t="n">
        <v>860.5</v>
      </c>
      <c r="E3">
        <f>SUMIF(Bank!B:B,"*"&amp;A3,Bank!C:C)</f>
        <v/>
      </c>
      <c r="F3">
        <f>D3-E3</f>
        <v/>
      </c>
      <c r="G3" t="inlineStr">
        <is>
          <t>sent</t>
        </is>
      </c>
    </row>
    <row r="4">
      <c r="A4" t="inlineStr">
        <is>
          <t>INV-1043</t>
        </is>
      </c>
      <c r="B4" t="inlineStr">
        <is>
          <t>Ono-Sendai</t>
        </is>
      </c>
      <c r="C4" t="inlineStr">
        <is>
          <t>2026-04-28</t>
        </is>
      </c>
      <c r="D4" t="n">
        <v>2400</v>
      </c>
      <c r="E4">
        <f>SUMIF(Bank!B:B,"*"&amp;A4,Bank!C:C)</f>
        <v/>
      </c>
      <c r="F4">
        <f>D4-E4</f>
        <v/>
      </c>
      <c r="G4" t="inlineStr">
        <is>
          <t>sent</t>
        </is>
      </c>
    </row>
    <row r="5">
      <c r="A5" t="inlineStr">
        <is>
          <t>INV-1044</t>
        </is>
      </c>
      <c r="B5" t="inlineStr">
        <is>
          <t>Tessier-Ashpool</t>
        </is>
      </c>
      <c r="C5" t="inlineStr">
        <is>
          <t>2026-05-06</t>
        </is>
      </c>
      <c r="D5" t="n">
        <v>1200</v>
      </c>
      <c r="E5">
        <f>SUMIF(Bank!B:B,"*"&amp;A5,Bank!C:C)</f>
        <v/>
      </c>
      <c r="F5">
        <f>D5-E5</f>
        <v/>
      </c>
      <c r="G5" t="inlineStr">
        <is>
          <t>sent</t>
        </is>
      </c>
    </row>
    <row r="6">
      <c r="A6" t="inlineStr">
        <is>
          <t>INV-1045</t>
        </is>
      </c>
      <c r="B6" t="inlineStr">
        <is>
          <t>Maas Biolabs</t>
        </is>
      </c>
      <c r="C6" t="inlineStr">
        <is>
          <t>2026-05-19</t>
        </is>
      </c>
      <c r="D6" t="n">
        <v>3150.75</v>
      </c>
      <c r="E6">
        <f>SUMIF(Bank!B:B,"*"&amp;A6,Bank!C:C)</f>
        <v/>
      </c>
      <c r="F6">
        <f>D6-E6</f>
        <v/>
      </c>
      <c r="G6" t="inlineStr">
        <is>
          <t>sent</t>
        </is>
      </c>
    </row>
    <row r="7">
      <c r="A7" t="inlineStr">
        <is>
          <t>INV-1046</t>
        </is>
      </c>
      <c r="B7" t="inlineStr">
        <is>
          <t>Sense/Net</t>
        </is>
      </c>
      <c r="C7" t="inlineStr">
        <is>
          <t>2026-06-02</t>
        </is>
      </c>
      <c r="D7" t="n">
        <v>860.5</v>
      </c>
      <c r="E7">
        <f>SUMIF(Bank!B:B,"*"&amp;A7,Bank!C:C)</f>
        <v/>
      </c>
      <c r="F7">
        <f>D7-E7</f>
        <v/>
      </c>
      <c r="G7" t="inlineStr">
        <is>
          <t>sent</t>
        </is>
      </c>
    </row>
    <row r="8">
      <c r="A8" t="inlineStr">
        <is>
          <t>INV-1047</t>
        </is>
      </c>
      <c r="B8" t="inlineStr">
        <is>
          <t>Ono-Sendai</t>
        </is>
      </c>
      <c r="C8" t="inlineStr">
        <is>
          <t>2026-06-21</t>
        </is>
      </c>
      <c r="D8" t="n">
        <v>975</v>
      </c>
      <c r="E8">
        <f>SUMIF(Bank!B:B,"*"&amp;A8,Bank!C:C)</f>
        <v/>
      </c>
      <c r="F8">
        <f>D8-E8</f>
        <v/>
      </c>
      <c r="G8" t="inlineStr">
        <is>
          <t>draft</t>
        </is>
      </c>
    </row>
    <row r="9">
      <c r="A9" t="inlineStr">
        <is>
          <t>Total</t>
        </is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2026-09-10T11:11:53Z</dcterms:created>
  <dcterms:modified xmlns:dcterms="http://purl.org/dc/terms/" xmlns:xsi="http://www.w3.org/2001/XMLSchema-instance" xsi:type="dcterms:W3CDTF">2026-09-10T11:11:53Z</dcterms:modified>
</cp:coreProperties>
</file>